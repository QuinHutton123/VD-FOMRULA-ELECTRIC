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quinh\OneDrive\Documents\Open Lap Tests\"/>
    </mc:Choice>
  </mc:AlternateContent>
  <xr:revisionPtr revIDLastSave="0" documentId="13_ncr:1_{190FAB99-A2B2-4366-A213-FF45155DB61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nfo" sheetId="1" r:id="rId1"/>
    <sheet name="Torque Curve" sheetId="2" r:id="rId2"/>
    <sheet name="Aer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<sst xmlns="http://schemas.openxmlformats.org/spreadsheetml/2006/main" count="155" uniqueCount="106">
  <si>
    <t>General</t>
  </si>
  <si>
    <t>Name</t>
  </si>
  <si>
    <t>Type</t>
  </si>
  <si>
    <t>Total Mass</t>
  </si>
  <si>
    <t>Front Mass Distribution</t>
  </si>
  <si>
    <t>Wheelbase</t>
  </si>
  <si>
    <t>kg</t>
  </si>
  <si>
    <t>%</t>
  </si>
  <si>
    <t>mm</t>
  </si>
  <si>
    <t>Dimensions</t>
  </si>
  <si>
    <t>Steering</t>
  </si>
  <si>
    <t>Inertia</t>
  </si>
  <si>
    <t>Steering Rack Ratio</t>
  </si>
  <si>
    <t>Aerodynamics</t>
  </si>
  <si>
    <t>Engine Speed [rpm]</t>
  </si>
  <si>
    <t>Torque [Nm]</t>
  </si>
  <si>
    <t>Frontal Area</t>
  </si>
  <si>
    <t>m2</t>
  </si>
  <si>
    <t>kg/m3</t>
  </si>
  <si>
    <t>Brakes</t>
  </si>
  <si>
    <t>Air Density</t>
  </si>
  <si>
    <t>Disc Outer Diameter</t>
  </si>
  <si>
    <t>Pad Height</t>
  </si>
  <si>
    <t>Caliper Number of Pistons</t>
  </si>
  <si>
    <t>Caliper Piston Diameter</t>
  </si>
  <si>
    <t>Master Cylinder Piston Diameter</t>
  </si>
  <si>
    <t>Pedal Ratio</t>
  </si>
  <si>
    <t>Tyres</t>
  </si>
  <si>
    <t>Tyre Radius</t>
  </si>
  <si>
    <t>Longitudinal Friction Coefficient</t>
  </si>
  <si>
    <t>Longitudinal Friction Load Rating</t>
  </si>
  <si>
    <t>Longitudinal Friction Sensitivity</t>
  </si>
  <si>
    <t>1/N</t>
  </si>
  <si>
    <t>Rolling Resistance</t>
  </si>
  <si>
    <t>Grip Factor Multiplier</t>
  </si>
  <si>
    <t>-</t>
  </si>
  <si>
    <t>Lateral Friction Coefficient</t>
  </si>
  <si>
    <t>Lateral Friction Load Rating</t>
  </si>
  <si>
    <t>Lateral Friction Sensitivity</t>
  </si>
  <si>
    <t>Front Cornering Stiffness</t>
  </si>
  <si>
    <t>Rear Cornering Stiffness</t>
  </si>
  <si>
    <t>N/deg</t>
  </si>
  <si>
    <t>Category</t>
  </si>
  <si>
    <t>Description</t>
  </si>
  <si>
    <t>Value</t>
  </si>
  <si>
    <t>Unit</t>
  </si>
  <si>
    <t>Comment</t>
  </si>
  <si>
    <t>Engine</t>
  </si>
  <si>
    <t>Power Factor Multiplier</t>
  </si>
  <si>
    <t>Thermal Efficiency</t>
  </si>
  <si>
    <t>Fuel Lower Heating Value</t>
  </si>
  <si>
    <t>J/kg</t>
  </si>
  <si>
    <t>Transmission</t>
  </si>
  <si>
    <t>Drive Type</t>
  </si>
  <si>
    <t>[Steering Wheel Angle]/[Wheel Angle]</t>
  </si>
  <si>
    <t>[Foot Force Application Point Lever Arm]/[Master Cylinder Lever Arm]</t>
  </si>
  <si>
    <t>Primary Gear Reduction</t>
  </si>
  <si>
    <t>Final Gear Reduction</t>
  </si>
  <si>
    <t>1st Gear Ratio</t>
  </si>
  <si>
    <t>2nd Gear Ratio</t>
  </si>
  <si>
    <t>3rd Gear Ratio</t>
  </si>
  <si>
    <t>4th Gear Ratio</t>
  </si>
  <si>
    <t>5th Gear Ratio</t>
  </si>
  <si>
    <t>6th Gear Ratio</t>
  </si>
  <si>
    <t>7th Gear Ratio</t>
  </si>
  <si>
    <t>8th Gear Ratio</t>
  </si>
  <si>
    <t>9th Gear Ratio</t>
  </si>
  <si>
    <t>10th Gear Ratio</t>
  </si>
  <si>
    <t>Front Aero Distribution</t>
  </si>
  <si>
    <t>Lift Coefficient CL</t>
  </si>
  <si>
    <t>Drag Coefficient CD</t>
  </si>
  <si>
    <t>Primary Gear Efficiency</t>
  </si>
  <si>
    <t>Final Gear Efficiency</t>
  </si>
  <si>
    <t>Gearbox Efficiency</t>
  </si>
  <si>
    <t>Pad Friction Coefficient</t>
  </si>
  <si>
    <t>Gear Shift Time</t>
  </si>
  <si>
    <t>s</t>
  </si>
  <si>
    <t>Only used in dragster mode</t>
  </si>
  <si>
    <t>Assumed to be the same on all pads. Recommended value: 0.45</t>
  </si>
  <si>
    <t>Recommended value:  800-1000</t>
  </si>
  <si>
    <t>Assumed to be the same on all tyres. Should be positive. Recommended value:  0.0001</t>
  </si>
  <si>
    <t>Recommended value:  1.225</t>
  </si>
  <si>
    <t>Should be negative</t>
  </si>
  <si>
    <t>Positive = Lift / Negative = Downforce</t>
  </si>
  <si>
    <t>Recommended value:  0.90 for bevel gears</t>
  </si>
  <si>
    <t>Recommended value:  0.98 for spur/helical gears</t>
  </si>
  <si>
    <t>Assumed to be the same on all tyres. Recommended value: M/4</t>
  </si>
  <si>
    <t>Assumed to be the same on all tyres. Slick tyres: 1.8, Street tyres: 0.9-1.2</t>
  </si>
  <si>
    <t>Assumed to be the same on all tyres. Needs to be negative. Recommended value: -0.001</t>
  </si>
  <si>
    <t>Assumed to be the same on all tyres.</t>
  </si>
  <si>
    <t>Assumed to be the same on all corners.</t>
  </si>
  <si>
    <t>Assumed to be the same both front and rear.</t>
  </si>
  <si>
    <t>Recommended value: 0.3 for ICE</t>
  </si>
  <si>
    <t>Recommended value:  4.72E+07 for petrol</t>
  </si>
  <si>
    <t>From crancskaft to Input shaft.</t>
  </si>
  <si>
    <t>EV7</t>
  </si>
  <si>
    <t>Open Wheel</t>
  </si>
  <si>
    <t>Weight Distr W 68kg Driver Front</t>
  </si>
  <si>
    <t>RWD</t>
  </si>
  <si>
    <t>Configuration</t>
  </si>
  <si>
    <t>CL</t>
  </si>
  <si>
    <t>CD</t>
  </si>
  <si>
    <t>Pitch Front</t>
  </si>
  <si>
    <t>Pitch Rear</t>
  </si>
  <si>
    <t>CL Scale Multiplier</t>
  </si>
  <si>
    <t>CD Scale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</si>
</sst>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vertical="center" wrapText="1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/>
    <xf numFmtId="0" fontId="0" fillId="3" borderId="1" xfId="0" applyFill="1" applyBorder="1"/>
    <xf numFmtId="0" fontId="0" fillId="5" borderId="2" xfId="0" applyFill="1" applyBorder="1" applyAlignment="1">
      <alignment horizontal="left" vertical="center"/>
    </xf>
    <xf numFmtId="0" fontId="0" fillId="3" borderId="2" xfId="0" applyFill="1" applyBorder="1"/>
    <xf numFmtId="0" fontId="0" fillId="5" borderId="2" xfId="0" applyFill="1" applyBorder="1"/>
    <xf numFmtId="0" fontId="0" fillId="5" borderId="4" xfId="0" applyFill="1" applyBorder="1" applyAlignment="1">
      <alignment horizontal="left" vertical="center"/>
    </xf>
    <xf numFmtId="0" fontId="0" fillId="3" borderId="4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7" xfId="0" applyFill="1" applyBorder="1" applyAlignment="1">
      <alignment horizontal="left" vertical="center"/>
    </xf>
    <xf numFmtId="0" fontId="0" fillId="3" borderId="7" xfId="0" applyFill="1" applyBorder="1"/>
    <xf numFmtId="0" fontId="0" fillId="5" borderId="7" xfId="0" applyFill="1" applyBorder="1"/>
    <xf numFmtId="0" fontId="0" fillId="5" borderId="8" xfId="0" applyFill="1" applyBorder="1"/>
    <xf numFmtId="0" fontId="0" fillId="4" borderId="9" xfId="0" applyFill="1" applyBorder="1" applyAlignment="1">
      <alignment horizontal="left" vertical="center"/>
    </xf>
    <xf numFmtId="0" fontId="0" fillId="5" borderId="10" xfId="0" applyFill="1" applyBorder="1" applyAlignment="1">
      <alignment horizontal="left" vertical="center"/>
    </xf>
    <xf numFmtId="0" fontId="0" fillId="3" borderId="10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13" xfId="0" applyFill="1" applyBorder="1"/>
    <xf numFmtId="11" fontId="0" fillId="3" borderId="7" xfId="0" applyNumberFormat="1" applyFill="1" applyBorder="1"/>
    <xf numFmtId="0" fontId="1" fillId="2" borderId="9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0" xfId="0" applyFont="1" applyFill="1" applyBorder="1"/>
    <xf numFmtId="0" fontId="1" fillId="2" borderId="11" xfId="0" applyFont="1" applyFill="1" applyBorder="1"/>
    <xf numFmtId="0" fontId="0" fillId="5" borderId="1" xfId="0" applyFill="1" applyBorder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17" xfId="0" applyFill="1" applyBorder="1"/>
    <xf numFmtId="0" fontId="0" fillId="3" borderId="18" xfId="0" applyFill="1" applyBorder="1"/>
    <xf numFmtId="0" fontId="0" fillId="4" borderId="14" xfId="0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/>
    </xf>
    <xf numFmtId="0" fontId="0" fillId="4" borderId="6" xfId="0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Torque</a:t>
            </a:r>
            <a:r>
              <a:rPr lang="en-CA" baseline="0"/>
              <a:t> Curve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'Torque Curve'!$A$2:$A$66</c:f>
              <c:numCache>
                <c:formatCode>General</c:formatCode>
                <c:ptCount val="65"/>
                <c:pt idx="0">
                  <c:v>1000</c:v>
                </c:pt>
                <c:pt idx="1">
                  <c:v>1300</c:v>
                </c:pt>
                <c:pt idx="2">
                  <c:v>1600</c:v>
                </c:pt>
                <c:pt idx="3">
                  <c:v>1900</c:v>
                </c:pt>
                <c:pt idx="4">
                  <c:v>2200</c:v>
                </c:pt>
                <c:pt idx="5">
                  <c:v>2500</c:v>
                </c:pt>
                <c:pt idx="6">
                  <c:v>2800</c:v>
                </c:pt>
                <c:pt idx="7">
                  <c:v>3100</c:v>
                </c:pt>
                <c:pt idx="8">
                  <c:v>3400</c:v>
                </c:pt>
                <c:pt idx="9">
                  <c:v>3700</c:v>
                </c:pt>
                <c:pt idx="10">
                  <c:v>4000</c:v>
                </c:pt>
                <c:pt idx="11">
                  <c:v>4300</c:v>
                </c:pt>
                <c:pt idx="12">
                  <c:v>4600</c:v>
                </c:pt>
                <c:pt idx="13">
                  <c:v>4900</c:v>
                </c:pt>
                <c:pt idx="14">
                  <c:v>5200</c:v>
                </c:pt>
                <c:pt idx="15">
                  <c:v>5500</c:v>
                </c:pt>
                <c:pt idx="16">
                  <c:v>5800</c:v>
                </c:pt>
                <c:pt idx="17">
                  <c:v>6100</c:v>
                </c:pt>
                <c:pt idx="18">
                  <c:v>6400</c:v>
                </c:pt>
                <c:pt idx="19">
                  <c:v>6700</c:v>
                </c:pt>
                <c:pt idx="20">
                  <c:v>7000</c:v>
                </c:pt>
                <c:pt idx="21">
                  <c:v>7300</c:v>
                </c:pt>
                <c:pt idx="22">
                  <c:v>7600</c:v>
                </c:pt>
                <c:pt idx="23">
                  <c:v>7900</c:v>
                </c:pt>
                <c:pt idx="24">
                  <c:v>8200</c:v>
                </c:pt>
                <c:pt idx="25">
                  <c:v>8500</c:v>
                </c:pt>
                <c:pt idx="26">
                  <c:v>8800</c:v>
                </c:pt>
                <c:pt idx="27">
                  <c:v>9100</c:v>
                </c:pt>
                <c:pt idx="28">
                  <c:v>9400</c:v>
                </c:pt>
                <c:pt idx="29">
                  <c:v>9700</c:v>
                </c:pt>
                <c:pt idx="30">
                  <c:v>10000</c:v>
                </c:pt>
                <c:pt idx="31">
                  <c:v>10300</c:v>
                </c:pt>
                <c:pt idx="32">
                  <c:v>10600</c:v>
                </c:pt>
                <c:pt idx="33">
                  <c:v>10900</c:v>
                </c:pt>
                <c:pt idx="34">
                  <c:v>11200</c:v>
                </c:pt>
                <c:pt idx="35">
                  <c:v>11500</c:v>
                </c:pt>
                <c:pt idx="36">
                  <c:v>11800</c:v>
                </c:pt>
                <c:pt idx="37">
                  <c:v>12100</c:v>
                </c:pt>
                <c:pt idx="38">
                  <c:v>12400</c:v>
                </c:pt>
                <c:pt idx="39">
                  <c:v>12700</c:v>
                </c:pt>
                <c:pt idx="40">
                  <c:v>13000</c:v>
                </c:pt>
                <c:pt idx="41">
                  <c:v>13300</c:v>
                </c:pt>
                <c:pt idx="42">
                  <c:v>13600</c:v>
                </c:pt>
                <c:pt idx="43">
                  <c:v>13900</c:v>
                </c:pt>
                <c:pt idx="44">
                  <c:v>14200</c:v>
                </c:pt>
                <c:pt idx="45">
                  <c:v>14500</c:v>
                </c:pt>
                <c:pt idx="46">
                  <c:v>14800</c:v>
                </c:pt>
                <c:pt idx="47">
                  <c:v>15100</c:v>
                </c:pt>
                <c:pt idx="48">
                  <c:v>15400</c:v>
                </c:pt>
                <c:pt idx="49">
                  <c:v>15700</c:v>
                </c:pt>
                <c:pt idx="50">
                  <c:v>16000</c:v>
                </c:pt>
                <c:pt idx="51">
                  <c:v>16300</c:v>
                </c:pt>
                <c:pt idx="52">
                  <c:v>16600</c:v>
                </c:pt>
                <c:pt idx="53">
                  <c:v>16900</c:v>
                </c:pt>
                <c:pt idx="54">
                  <c:v>17200</c:v>
                </c:pt>
                <c:pt idx="55">
                  <c:v>17500</c:v>
                </c:pt>
                <c:pt idx="56">
                  <c:v>17800</c:v>
                </c:pt>
                <c:pt idx="57">
                  <c:v>18100</c:v>
                </c:pt>
                <c:pt idx="58">
                  <c:v>18400</c:v>
                </c:pt>
                <c:pt idx="59">
                  <c:v>18700</c:v>
                </c:pt>
                <c:pt idx="60">
                  <c:v>19000</c:v>
                </c:pt>
                <c:pt idx="61">
                  <c:v>19300</c:v>
                </c:pt>
                <c:pt idx="62">
                  <c:v>19600</c:v>
                </c:pt>
                <c:pt idx="63">
                  <c:v>19900</c:v>
                </c:pt>
                <c:pt idx="64">
                  <c:v>20000</c:v>
                </c:pt>
              </c:numCache>
            </c:numRef>
          </c:xVal>
          <c:yVal>
            <c:numRef>
              <c:f>'Torque Curve'!$B$2:$B$66</c:f>
              <c:numCache>
                <c:formatCode>General</c:formatCode>
                <c:ptCount val="65"/>
                <c:pt idx="0">
                  <c:v>21.5</c:v>
                </c:pt>
                <c:pt idx="1">
                  <c:v>21.5</c:v>
                </c:pt>
                <c:pt idx="2">
                  <c:v>21.5</c:v>
                </c:pt>
                <c:pt idx="3">
                  <c:v>21.5</c:v>
                </c:pt>
                <c:pt idx="4">
                  <c:v>21.5</c:v>
                </c:pt>
                <c:pt idx="5">
                  <c:v>21.5</c:v>
                </c:pt>
                <c:pt idx="6">
                  <c:v>21.5</c:v>
                </c:pt>
                <c:pt idx="7">
                  <c:v>21.5</c:v>
                </c:pt>
                <c:pt idx="8">
                  <c:v>21.5</c:v>
                </c:pt>
                <c:pt idx="9">
                  <c:v>21.5</c:v>
                </c:pt>
                <c:pt idx="10">
                  <c:v>21.5</c:v>
                </c:pt>
                <c:pt idx="11">
                  <c:v>21.5</c:v>
                </c:pt>
                <c:pt idx="12">
                  <c:v>21.5</c:v>
                </c:pt>
                <c:pt idx="13">
                  <c:v>21.5</c:v>
                </c:pt>
                <c:pt idx="14">
                  <c:v>21.5</c:v>
                </c:pt>
                <c:pt idx="15">
                  <c:v>21.5</c:v>
                </c:pt>
                <c:pt idx="16">
                  <c:v>21.5</c:v>
                </c:pt>
                <c:pt idx="17">
                  <c:v>21.5</c:v>
                </c:pt>
                <c:pt idx="18">
                  <c:v>21.5</c:v>
                </c:pt>
                <c:pt idx="19">
                  <c:v>21.5</c:v>
                </c:pt>
                <c:pt idx="20">
                  <c:v>21.5</c:v>
                </c:pt>
                <c:pt idx="21">
                  <c:v>21.5</c:v>
                </c:pt>
                <c:pt idx="22">
                  <c:v>21.5</c:v>
                </c:pt>
                <c:pt idx="23">
                  <c:v>21.5</c:v>
                </c:pt>
                <c:pt idx="24">
                  <c:v>21.5</c:v>
                </c:pt>
                <c:pt idx="25">
                  <c:v>21.5</c:v>
                </c:pt>
                <c:pt idx="26">
                  <c:v>21.5</c:v>
                </c:pt>
                <c:pt idx="27">
                  <c:v>21.5</c:v>
                </c:pt>
                <c:pt idx="28">
                  <c:v>21.5</c:v>
                </c:pt>
                <c:pt idx="29">
                  <c:v>21.5</c:v>
                </c:pt>
                <c:pt idx="30">
                  <c:v>21.5</c:v>
                </c:pt>
                <c:pt idx="31">
                  <c:v>21.5</c:v>
                </c:pt>
                <c:pt idx="32">
                  <c:v>21.5</c:v>
                </c:pt>
                <c:pt idx="33">
                  <c:v>21.5</c:v>
                </c:pt>
                <c:pt idx="34">
                  <c:v>21.5</c:v>
                </c:pt>
                <c:pt idx="35">
                  <c:v>21.5</c:v>
                </c:pt>
                <c:pt idx="36">
                  <c:v>21.5</c:v>
                </c:pt>
                <c:pt idx="37">
                  <c:v>21.5</c:v>
                </c:pt>
                <c:pt idx="38">
                  <c:v>21.5</c:v>
                </c:pt>
                <c:pt idx="39">
                  <c:v>21.5</c:v>
                </c:pt>
                <c:pt idx="40">
                  <c:v>21.5</c:v>
                </c:pt>
                <c:pt idx="41">
                  <c:v>21.3</c:v>
                </c:pt>
                <c:pt idx="42">
                  <c:v>20.3</c:v>
                </c:pt>
                <c:pt idx="43">
                  <c:v>20</c:v>
                </c:pt>
                <c:pt idx="44">
                  <c:v>19.600000000000001</c:v>
                </c:pt>
                <c:pt idx="45">
                  <c:v>19</c:v>
                </c:pt>
                <c:pt idx="46">
                  <c:v>17.8</c:v>
                </c:pt>
                <c:pt idx="47">
                  <c:v>17.600000000000001</c:v>
                </c:pt>
                <c:pt idx="48">
                  <c:v>17.399999999999999</c:v>
                </c:pt>
                <c:pt idx="49">
                  <c:v>16.25</c:v>
                </c:pt>
                <c:pt idx="50">
                  <c:v>15.3</c:v>
                </c:pt>
                <c:pt idx="51">
                  <c:v>14.9</c:v>
                </c:pt>
                <c:pt idx="52">
                  <c:v>13.75</c:v>
                </c:pt>
                <c:pt idx="53">
                  <c:v>13</c:v>
                </c:pt>
                <c:pt idx="54">
                  <c:v>12</c:v>
                </c:pt>
                <c:pt idx="55">
                  <c:v>10.8</c:v>
                </c:pt>
                <c:pt idx="56">
                  <c:v>9.8000000000000007</c:v>
                </c:pt>
                <c:pt idx="57">
                  <c:v>7.5</c:v>
                </c:pt>
                <c:pt idx="58">
                  <c:v>5</c:v>
                </c:pt>
                <c:pt idx="59">
                  <c:v>2.5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60-42F0-83EE-559B3E4D9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591119"/>
        <c:axId val="1128592559"/>
      </c:scatterChart>
      <c:valAx>
        <c:axId val="1128591119"/>
        <c:scaling>
          <c:orientation val="minMax"/>
          <c:max val="2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92559"/>
        <c:crosses val="autoZero"/>
        <c:crossBetween val="midCat"/>
      </c:valAx>
      <c:valAx>
        <c:axId val="112859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Motor</a:t>
                </a:r>
                <a:r>
                  <a:rPr lang="en-CA" baseline="0"/>
                  <a:t> Torque N.M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9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228704</xdr:colOff>
      <xdr:row>0</xdr:row>
      <xdr:rowOff>174381</xdr:rowOff>
    </xdr:from>
    <xdr:to>
      <xdr:col>25</xdr:col>
      <xdr:colOff>231322</xdr:colOff>
      <xdr:row>31</xdr:row>
      <xdr:rowOff>176892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925970-1D9E-5096-C65A-011358B5BE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163286</xdr:colOff>
      <xdr:row>32</xdr:row>
      <xdr:rowOff>0</xdr:rowOff>
    </xdr:from>
    <xdr:to>
      <xdr:col>25</xdr:col>
      <xdr:colOff>288157</xdr:colOff>
      <xdr:row>52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D50E5A-5A0E-422F-B406-89F08BAAA8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5679" y="6096000"/>
          <a:ext cx="14534835" cy="3810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66" totalsRowShown="0">
  <autoFilter ref="A1:B66" xr:uid="{00000000-0009-0000-0100-000001000000}"/>
  <tableColumns count="2">
    <tableColumn id="1" xr3:uid="{00000000-0010-0000-0000-000001000000}" name="Engine Speed [rpm]"/>
    <tableColumn id="2" xr3:uid="{00000000-0010-0000-0000-000002000000}" name="Torque [Nm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"/>
  <sheetViews>
    <sheetView tabSelected="1" workbookViewId="0">
      <selection activeCell="G34" sqref="G34"/>
    </sheetView>
  </sheetViews>
  <sheetFormatPr defaultRowHeight="15" x14ac:dyDescent="0.25"/>
  <cols>
    <col min="1" max="1" width="12.42578125" bestFit="1" customWidth="1"/>
    <col min="2" max="2" width="30.42578125" bestFit="1" customWidth="1"/>
    <col min="3" max="3" width="12.7109375" bestFit="1" customWidth="1"/>
    <col min="5" max="5" width="79.42578125" bestFit="1" customWidth="1"/>
  </cols>
  <sheetData>
    <row r="1" spans="1:5" ht="15.75" thickBot="1" x14ac:dyDescent="0.3">
      <c r="A1" s="23" t="s">
        <v>42</v>
      </c>
      <c r="B1" s="24" t="s">
        <v>43</v>
      </c>
      <c r="C1" s="25" t="s">
        <v>44</v>
      </c>
      <c r="D1" s="25" t="s">
        <v>45</v>
      </c>
      <c r="E1" s="26" t="s">
        <v>46</v>
      </c>
    </row>
    <row r="2" spans="1:5" x14ac:dyDescent="0.25">
      <c r="A2" s="34" t="s">
        <v>0</v>
      </c>
      <c r="B2" s="8" t="s">
        <v>1</v>
      </c>
      <c r="C2" s="9" t="s">
        <v>95</v>
      </c>
      <c r="D2" s="10" t="s">
        <v>35</v>
      </c>
      <c r="E2" s="11"/>
    </row>
    <row r="3" spans="1:5" ht="15.75" thickBot="1" x14ac:dyDescent="0.3">
      <c r="A3" s="35"/>
      <c r="B3" s="12" t="s">
        <v>2</v>
      </c>
      <c r="C3" s="13" t="s">
        <v>96</v>
      </c>
      <c r="D3" s="14" t="s">
        <v>35</v>
      </c>
      <c r="E3" s="15"/>
    </row>
    <row r="4" spans="1:5" x14ac:dyDescent="0.25">
      <c r="A4" s="34" t="s">
        <v>11</v>
      </c>
      <c r="B4" s="8" t="s">
        <v>3</v>
      </c>
      <c r="C4" s="9">
        <v>285.40699999999998</v>
      </c>
      <c r="D4" s="10" t="s">
        <v>6</v>
      </c>
      <c r="E4" s="11"/>
    </row>
    <row r="5" spans="1:5" ht="15.75" thickBot="1" x14ac:dyDescent="0.3">
      <c r="A5" s="35"/>
      <c r="B5" s="12" t="s">
        <v>4</v>
      </c>
      <c r="C5" s="13">
        <v>46</v>
      </c>
      <c r="D5" s="14" t="s">
        <v>7</v>
      </c>
      <c r="E5" s="15" t="s">
        <v>97</v>
      </c>
    </row>
    <row r="6" spans="1:5" ht="15.75" thickBot="1" x14ac:dyDescent="0.3">
      <c r="A6" s="16" t="s">
        <v>9</v>
      </c>
      <c r="B6" s="17" t="s">
        <v>5</v>
      </c>
      <c r="C6" s="18">
        <v>1530</v>
      </c>
      <c r="D6" s="19" t="s">
        <v>8</v>
      </c>
      <c r="E6" s="20"/>
    </row>
    <row r="7" spans="1:5" ht="15.75" thickBot="1" x14ac:dyDescent="0.3">
      <c r="A7" s="16" t="s">
        <v>10</v>
      </c>
      <c r="B7" s="17" t="s">
        <v>12</v>
      </c>
      <c r="C7" s="18">
        <v>1.44</v>
      </c>
      <c r="D7" s="19" t="s">
        <v>35</v>
      </c>
      <c r="E7" s="20" t="s">
        <v>54</v>
      </c>
    </row>
    <row r="8" spans="1:5" x14ac:dyDescent="0.25">
      <c r="A8" s="34" t="s">
        <v>13</v>
      </c>
      <c r="B8" s="8" t="s">
        <v>69</v>
      </c>
      <c r="C8" s="9">
        <v>-2.75</v>
      </c>
      <c r="D8" s="10" t="s">
        <v>35</v>
      </c>
      <c r="E8" s="11" t="s">
        <v>83</v>
      </c>
    </row>
    <row r="9" spans="1:5" x14ac:dyDescent="0.25">
      <c r="A9" s="36"/>
      <c r="B9" s="2" t="s">
        <v>70</v>
      </c>
      <c r="C9" s="4">
        <v>-1.0900000000000001</v>
      </c>
      <c r="D9" s="3" t="s">
        <v>35</v>
      </c>
      <c r="E9" s="21" t="s">
        <v>82</v>
      </c>
    </row>
    <row r="10" spans="1:5" x14ac:dyDescent="0.25">
      <c r="A10" s="36"/>
      <c r="B10" s="2" t="s">
        <v>104</v>
      </c>
      <c r="C10" s="4">
        <v>1</v>
      </c>
      <c r="D10" s="3" t="s">
        <v>35</v>
      </c>
      <c r="E10" s="21"/>
    </row>
    <row r="11" spans="1:5" x14ac:dyDescent="0.25">
      <c r="A11" s="36"/>
      <c r="B11" s="2" t="s">
        <v>105</v>
      </c>
      <c r="C11" s="4">
        <v>1</v>
      </c>
      <c r="D11" s="3" t="s">
        <v>35</v>
      </c>
      <c r="E11" s="21"/>
    </row>
    <row r="12" spans="1:5" x14ac:dyDescent="0.25">
      <c r="A12" s="36"/>
      <c r="B12" s="2" t="s">
        <v>68</v>
      </c>
      <c r="C12" s="4">
        <v>33.700000000000003</v>
      </c>
      <c r="D12" s="3" t="s">
        <v>7</v>
      </c>
      <c r="E12" s="21"/>
    </row>
    <row r="13" spans="1:5" x14ac:dyDescent="0.25">
      <c r="A13" s="36"/>
      <c r="B13" s="2" t="s">
        <v>16</v>
      </c>
      <c r="C13" s="4">
        <v>1.04</v>
      </c>
      <c r="D13" s="3" t="s">
        <v>17</v>
      </c>
      <c r="E13" s="21"/>
    </row>
    <row r="14" spans="1:5" ht="15.75" thickBot="1" x14ac:dyDescent="0.3">
      <c r="A14" s="35"/>
      <c r="B14" s="12" t="s">
        <v>20</v>
      </c>
      <c r="C14" s="13">
        <v>1.2250000000000001</v>
      </c>
      <c r="D14" s="14" t="s">
        <v>18</v>
      </c>
      <c r="E14" s="15" t="s">
        <v>81</v>
      </c>
    </row>
    <row r="15" spans="1:5" x14ac:dyDescent="0.25">
      <c r="A15" s="34" t="s">
        <v>19</v>
      </c>
      <c r="B15" s="8" t="s">
        <v>21</v>
      </c>
      <c r="C15" s="9">
        <v>39.700000000000003</v>
      </c>
      <c r="D15" s="10" t="s">
        <v>8</v>
      </c>
      <c r="E15" s="11" t="s">
        <v>90</v>
      </c>
    </row>
    <row r="16" spans="1:5" x14ac:dyDescent="0.25">
      <c r="A16" s="36"/>
      <c r="B16" s="2" t="s">
        <v>22</v>
      </c>
      <c r="C16" s="4">
        <v>26.84</v>
      </c>
      <c r="D16" s="3" t="s">
        <v>8</v>
      </c>
      <c r="E16" s="21" t="s">
        <v>90</v>
      </c>
    </row>
    <row r="17" spans="1:5" x14ac:dyDescent="0.25">
      <c r="A17" s="36"/>
      <c r="B17" s="2" t="s">
        <v>74</v>
      </c>
      <c r="C17" s="4">
        <v>0.41</v>
      </c>
      <c r="D17" s="3" t="s">
        <v>35</v>
      </c>
      <c r="E17" s="21" t="s">
        <v>78</v>
      </c>
    </row>
    <row r="18" spans="1:5" x14ac:dyDescent="0.25">
      <c r="A18" s="36"/>
      <c r="B18" s="2" t="s">
        <v>23</v>
      </c>
      <c r="C18" s="4">
        <v>4</v>
      </c>
      <c r="D18" s="3" t="s">
        <v>35</v>
      </c>
      <c r="E18" s="21" t="s">
        <v>90</v>
      </c>
    </row>
    <row r="19" spans="1:5" x14ac:dyDescent="0.25">
      <c r="A19" s="36"/>
      <c r="B19" s="2" t="s">
        <v>24</v>
      </c>
      <c r="C19" s="4">
        <v>25.4</v>
      </c>
      <c r="D19" s="3" t="s">
        <v>8</v>
      </c>
      <c r="E19" s="21" t="s">
        <v>90</v>
      </c>
    </row>
    <row r="20" spans="1:5" x14ac:dyDescent="0.25">
      <c r="A20" s="36"/>
      <c r="B20" s="2" t="s">
        <v>25</v>
      </c>
      <c r="C20" s="4">
        <v>15.88</v>
      </c>
      <c r="D20" s="3" t="s">
        <v>8</v>
      </c>
      <c r="E20" s="21" t="s">
        <v>91</v>
      </c>
    </row>
    <row r="21" spans="1:5" ht="15.75" thickBot="1" x14ac:dyDescent="0.3">
      <c r="A21" s="35"/>
      <c r="B21" s="12" t="s">
        <v>26</v>
      </c>
      <c r="C21" s="13">
        <v>2.82</v>
      </c>
      <c r="D21" s="14" t="s">
        <v>35</v>
      </c>
      <c r="E21" s="15" t="s">
        <v>55</v>
      </c>
    </row>
    <row r="22" spans="1:5" x14ac:dyDescent="0.25">
      <c r="A22" s="34" t="s">
        <v>27</v>
      </c>
      <c r="B22" s="8" t="s">
        <v>34</v>
      </c>
      <c r="C22" s="9">
        <v>1</v>
      </c>
      <c r="D22" s="10" t="s">
        <v>35</v>
      </c>
      <c r="E22" s="11"/>
    </row>
    <row r="23" spans="1:5" x14ac:dyDescent="0.25">
      <c r="A23" s="36"/>
      <c r="B23" s="2" t="s">
        <v>28</v>
      </c>
      <c r="C23" s="4">
        <v>203.2</v>
      </c>
      <c r="D23" s="3" t="s">
        <v>8</v>
      </c>
      <c r="E23" s="21" t="s">
        <v>89</v>
      </c>
    </row>
    <row r="24" spans="1:5" x14ac:dyDescent="0.25">
      <c r="A24" s="36"/>
      <c r="B24" s="2" t="s">
        <v>33</v>
      </c>
      <c r="C24" s="4">
        <v>-1E-3</v>
      </c>
      <c r="D24" s="3" t="s">
        <v>35</v>
      </c>
      <c r="E24" s="21" t="s">
        <v>88</v>
      </c>
    </row>
    <row r="25" spans="1:5" x14ac:dyDescent="0.25">
      <c r="A25" s="36"/>
      <c r="B25" s="2" t="s">
        <v>29</v>
      </c>
      <c r="C25" s="4">
        <v>1.2</v>
      </c>
      <c r="D25" s="3" t="s">
        <v>35</v>
      </c>
      <c r="E25" s="21" t="s">
        <v>87</v>
      </c>
    </row>
    <row r="26" spans="1:5" x14ac:dyDescent="0.25">
      <c r="A26" s="36"/>
      <c r="B26" s="2" t="s">
        <v>30</v>
      </c>
      <c r="C26" s="4">
        <v>71.349999999999994</v>
      </c>
      <c r="D26" s="3" t="s">
        <v>6</v>
      </c>
      <c r="E26" s="21" t="s">
        <v>86</v>
      </c>
    </row>
    <row r="27" spans="1:5" x14ac:dyDescent="0.25">
      <c r="A27" s="36"/>
      <c r="B27" s="2" t="s">
        <v>31</v>
      </c>
      <c r="C27" s="4">
        <v>1E-4</v>
      </c>
      <c r="D27" s="3" t="s">
        <v>32</v>
      </c>
      <c r="E27" s="21" t="s">
        <v>80</v>
      </c>
    </row>
    <row r="28" spans="1:5" x14ac:dyDescent="0.25">
      <c r="A28" s="36"/>
      <c r="B28" s="2" t="s">
        <v>36</v>
      </c>
      <c r="C28" s="4">
        <v>1.4</v>
      </c>
      <c r="D28" s="3" t="s">
        <v>35</v>
      </c>
      <c r="E28" s="21" t="s">
        <v>87</v>
      </c>
    </row>
    <row r="29" spans="1:5" x14ac:dyDescent="0.25">
      <c r="A29" s="36"/>
      <c r="B29" s="2" t="s">
        <v>37</v>
      </c>
      <c r="C29" s="4">
        <v>71.349999999999994</v>
      </c>
      <c r="D29" s="3" t="s">
        <v>6</v>
      </c>
      <c r="E29" s="21" t="s">
        <v>86</v>
      </c>
    </row>
    <row r="30" spans="1:5" x14ac:dyDescent="0.25">
      <c r="A30" s="36"/>
      <c r="B30" s="2" t="s">
        <v>38</v>
      </c>
      <c r="C30" s="4">
        <v>1E-4</v>
      </c>
      <c r="D30" s="3" t="s">
        <v>32</v>
      </c>
      <c r="E30" s="21" t="s">
        <v>80</v>
      </c>
    </row>
    <row r="31" spans="1:5" x14ac:dyDescent="0.25">
      <c r="A31" s="36"/>
      <c r="B31" s="2" t="s">
        <v>39</v>
      </c>
      <c r="C31" s="4">
        <v>459.21</v>
      </c>
      <c r="D31" s="3" t="s">
        <v>41</v>
      </c>
      <c r="E31" s="21" t="s">
        <v>79</v>
      </c>
    </row>
    <row r="32" spans="1:5" ht="15.75" thickBot="1" x14ac:dyDescent="0.3">
      <c r="A32" s="35"/>
      <c r="B32" s="12" t="s">
        <v>40</v>
      </c>
      <c r="C32" s="13">
        <v>509.61</v>
      </c>
      <c r="D32" s="14" t="s">
        <v>41</v>
      </c>
      <c r="E32" s="15" t="s">
        <v>79</v>
      </c>
    </row>
    <row r="33" spans="1:5" x14ac:dyDescent="0.25">
      <c r="A33" s="34" t="s">
        <v>47</v>
      </c>
      <c r="B33" s="8" t="s">
        <v>48</v>
      </c>
      <c r="C33" s="9">
        <v>1</v>
      </c>
      <c r="D33" s="10" t="s">
        <v>35</v>
      </c>
      <c r="E33" s="11"/>
    </row>
    <row r="34" spans="1:5" x14ac:dyDescent="0.25">
      <c r="A34" s="36"/>
      <c r="B34" s="2" t="s">
        <v>49</v>
      </c>
      <c r="C34" s="4">
        <v>1</v>
      </c>
      <c r="D34" s="3" t="s">
        <v>35</v>
      </c>
      <c r="E34" s="21" t="s">
        <v>92</v>
      </c>
    </row>
    <row r="35" spans="1:5" ht="15.75" thickBot="1" x14ac:dyDescent="0.3">
      <c r="A35" s="35"/>
      <c r="B35" s="12" t="s">
        <v>50</v>
      </c>
      <c r="C35" s="22">
        <v>1</v>
      </c>
      <c r="D35" s="14" t="s">
        <v>51</v>
      </c>
      <c r="E35" s="15" t="s">
        <v>93</v>
      </c>
    </row>
    <row r="36" spans="1:5" x14ac:dyDescent="0.25">
      <c r="A36" s="31" t="s">
        <v>52</v>
      </c>
      <c r="B36" s="8" t="s">
        <v>53</v>
      </c>
      <c r="C36" s="9" t="s">
        <v>98</v>
      </c>
      <c r="D36" s="10" t="s">
        <v>35</v>
      </c>
      <c r="E36" s="11"/>
    </row>
    <row r="37" spans="1:5" x14ac:dyDescent="0.25">
      <c r="A37" s="32"/>
      <c r="B37" s="5" t="s">
        <v>75</v>
      </c>
      <c r="C37" s="6">
        <v>1</v>
      </c>
      <c r="D37" s="7" t="s">
        <v>76</v>
      </c>
      <c r="E37" s="29" t="s">
        <v>77</v>
      </c>
    </row>
    <row r="38" spans="1:5" x14ac:dyDescent="0.25">
      <c r="A38" s="32"/>
      <c r="B38" s="5" t="s">
        <v>71</v>
      </c>
      <c r="C38" s="6">
        <v>0.98</v>
      </c>
      <c r="D38" s="7" t="s">
        <v>35</v>
      </c>
      <c r="E38" s="29" t="s">
        <v>85</v>
      </c>
    </row>
    <row r="39" spans="1:5" x14ac:dyDescent="0.25">
      <c r="A39" s="32"/>
      <c r="B39" s="5" t="s">
        <v>72</v>
      </c>
      <c r="C39" s="6">
        <v>0.98</v>
      </c>
      <c r="D39" s="7" t="s">
        <v>35</v>
      </c>
      <c r="E39" s="29" t="s">
        <v>84</v>
      </c>
    </row>
    <row r="40" spans="1:5" x14ac:dyDescent="0.25">
      <c r="A40" s="32"/>
      <c r="B40" s="5" t="s">
        <v>73</v>
      </c>
      <c r="C40" s="6">
        <v>0.98</v>
      </c>
      <c r="D40" s="7" t="s">
        <v>35</v>
      </c>
      <c r="E40" s="29" t="s">
        <v>85</v>
      </c>
    </row>
    <row r="41" spans="1:5" x14ac:dyDescent="0.25">
      <c r="A41" s="32"/>
      <c r="B41" s="2" t="s">
        <v>56</v>
      </c>
      <c r="C41" s="4">
        <v>1</v>
      </c>
      <c r="D41" s="3" t="s">
        <v>35</v>
      </c>
      <c r="E41" s="21" t="s">
        <v>94</v>
      </c>
    </row>
    <row r="42" spans="1:5" x14ac:dyDescent="0.25">
      <c r="A42" s="32"/>
      <c r="B42" s="2" t="s">
        <v>57</v>
      </c>
      <c r="C42" s="30">
        <v>1</v>
      </c>
      <c r="D42" s="3" t="s">
        <v>35</v>
      </c>
      <c r="E42" s="21"/>
    </row>
    <row r="43" spans="1:5" x14ac:dyDescent="0.25">
      <c r="A43" s="32"/>
      <c r="B43" s="27" t="s">
        <v>58</v>
      </c>
      <c r="C43" s="4">
        <v>12.9</v>
      </c>
      <c r="D43" s="3" t="s">
        <v>35</v>
      </c>
      <c r="E43" s="21"/>
    </row>
    <row r="44" spans="1:5" x14ac:dyDescent="0.25">
      <c r="A44" s="32"/>
      <c r="B44" s="27" t="s">
        <v>59</v>
      </c>
      <c r="C44" s="4"/>
      <c r="D44" s="3" t="s">
        <v>35</v>
      </c>
      <c r="E44" s="21"/>
    </row>
    <row r="45" spans="1:5" x14ac:dyDescent="0.25">
      <c r="A45" s="32"/>
      <c r="B45" s="27" t="s">
        <v>60</v>
      </c>
      <c r="C45" s="4"/>
      <c r="D45" s="3" t="s">
        <v>35</v>
      </c>
      <c r="E45" s="21"/>
    </row>
    <row r="46" spans="1:5" x14ac:dyDescent="0.25">
      <c r="A46" s="32"/>
      <c r="B46" s="27" t="s">
        <v>61</v>
      </c>
      <c r="C46" s="4"/>
      <c r="D46" s="3" t="s">
        <v>35</v>
      </c>
      <c r="E46" s="21"/>
    </row>
    <row r="47" spans="1:5" x14ac:dyDescent="0.25">
      <c r="A47" s="32"/>
      <c r="B47" s="27" t="s">
        <v>62</v>
      </c>
      <c r="C47" s="4"/>
      <c r="D47" s="3" t="s">
        <v>35</v>
      </c>
      <c r="E47" s="21"/>
    </row>
    <row r="48" spans="1:5" x14ac:dyDescent="0.25">
      <c r="A48" s="32"/>
      <c r="B48" s="27" t="s">
        <v>63</v>
      </c>
      <c r="C48" s="4"/>
      <c r="D48" s="3" t="s">
        <v>35</v>
      </c>
      <c r="E48" s="21"/>
    </row>
    <row r="49" spans="1:5" x14ac:dyDescent="0.25">
      <c r="A49" s="32"/>
      <c r="B49" s="27" t="s">
        <v>64</v>
      </c>
      <c r="C49" s="4"/>
      <c r="D49" s="3" t="s">
        <v>35</v>
      </c>
      <c r="E49" s="21"/>
    </row>
    <row r="50" spans="1:5" x14ac:dyDescent="0.25">
      <c r="A50" s="32"/>
      <c r="B50" s="27" t="s">
        <v>65</v>
      </c>
      <c r="C50" s="4"/>
      <c r="D50" s="3" t="s">
        <v>35</v>
      </c>
      <c r="E50" s="21"/>
    </row>
    <row r="51" spans="1:5" x14ac:dyDescent="0.25">
      <c r="A51" s="32"/>
      <c r="B51" s="27" t="s">
        <v>66</v>
      </c>
      <c r="C51" s="4"/>
      <c r="D51" s="3" t="s">
        <v>35</v>
      </c>
      <c r="E51" s="21"/>
    </row>
    <row r="52" spans="1:5" ht="15.75" thickBot="1" x14ac:dyDescent="0.3">
      <c r="A52" s="33"/>
      <c r="B52" s="28" t="s">
        <v>67</v>
      </c>
      <c r="C52" s="13"/>
      <c r="D52" s="14" t="s">
        <v>35</v>
      </c>
      <c r="E52" s="15"/>
    </row>
  </sheetData>
  <mergeCells count="7">
    <mergeCell ref="A36:A52"/>
    <mergeCell ref="A2:A3"/>
    <mergeCell ref="A4:A5"/>
    <mergeCell ref="A8:A14"/>
    <mergeCell ref="A15:A21"/>
    <mergeCell ref="A22:A32"/>
    <mergeCell ref="A33:A3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6"/>
  <sheetViews>
    <sheetView zoomScale="70" zoomScaleNormal="70" workbookViewId="0">
      <selection activeCell="AE48" sqref="AE48"/>
    </sheetView>
  </sheetViews>
  <sheetFormatPr defaultRowHeight="15" x14ac:dyDescent="0.25"/>
  <cols>
    <col min="1" max="1" width="20" bestFit="1" customWidth="1"/>
    <col min="2" max="3" width="14" bestFit="1" customWidth="1"/>
  </cols>
  <sheetData>
    <row r="1" spans="1:3" x14ac:dyDescent="0.25">
      <c r="A1" t="s">
        <v>14</v>
      </c>
      <c r="B1" t="s">
        <v>15</v>
      </c>
    </row>
    <row r="2" spans="1:3" x14ac:dyDescent="0.25">
      <c r="A2" s="1">
        <v>1000</v>
      </c>
      <c r="B2" s="1">
        <v>21.5</v>
      </c>
      <c r="C2" s="1"/>
    </row>
    <row r="3" spans="1:3" x14ac:dyDescent="0.25">
      <c r="A3" s="1">
        <v>1300</v>
      </c>
      <c r="B3" s="1">
        <v>21.5</v>
      </c>
      <c r="C3" s="1"/>
    </row>
    <row r="4" spans="1:3" x14ac:dyDescent="0.25">
      <c r="A4" s="1">
        <v>1600</v>
      </c>
      <c r="B4" s="1">
        <v>21.5</v>
      </c>
      <c r="C4" s="1"/>
    </row>
    <row r="5" spans="1:3" x14ac:dyDescent="0.25">
      <c r="A5" s="1">
        <v>1900</v>
      </c>
      <c r="B5" s="1">
        <v>21.5</v>
      </c>
      <c r="C5" s="1"/>
    </row>
    <row r="6" spans="1:3" x14ac:dyDescent="0.25">
      <c r="A6" s="1">
        <v>2200</v>
      </c>
      <c r="B6" s="1">
        <v>21.5</v>
      </c>
      <c r="C6" s="1"/>
    </row>
    <row r="7" spans="1:3" x14ac:dyDescent="0.25">
      <c r="A7" s="1">
        <v>2500</v>
      </c>
      <c r="B7" s="1">
        <v>21.5</v>
      </c>
      <c r="C7" s="1"/>
    </row>
    <row r="8" spans="1:3" x14ac:dyDescent="0.25">
      <c r="A8" s="1">
        <v>2800</v>
      </c>
      <c r="B8" s="1">
        <v>21.5</v>
      </c>
      <c r="C8" s="1"/>
    </row>
    <row r="9" spans="1:3" x14ac:dyDescent="0.25">
      <c r="A9" s="1">
        <v>3100</v>
      </c>
      <c r="B9" s="1">
        <v>21.5</v>
      </c>
      <c r="C9" s="1"/>
    </row>
    <row r="10" spans="1:3" x14ac:dyDescent="0.25">
      <c r="A10" s="1">
        <v>3400</v>
      </c>
      <c r="B10" s="1">
        <v>21.5</v>
      </c>
      <c r="C10" s="1"/>
    </row>
    <row r="11" spans="1:3" x14ac:dyDescent="0.25">
      <c r="A11" s="1">
        <v>3700</v>
      </c>
      <c r="B11" s="1">
        <v>21.5</v>
      </c>
      <c r="C11" s="1"/>
    </row>
    <row r="12" spans="1:3" x14ac:dyDescent="0.25">
      <c r="A12" s="1">
        <v>4000</v>
      </c>
      <c r="B12" s="1">
        <v>21.5</v>
      </c>
      <c r="C12" s="1"/>
    </row>
    <row r="13" spans="1:3" x14ac:dyDescent="0.25">
      <c r="A13" s="1">
        <v>4300</v>
      </c>
      <c r="B13" s="1">
        <v>21.5</v>
      </c>
      <c r="C13" s="1"/>
    </row>
    <row r="14" spans="1:3" x14ac:dyDescent="0.25">
      <c r="A14" s="1">
        <v>4600</v>
      </c>
      <c r="B14" s="1">
        <v>21.5</v>
      </c>
      <c r="C14" s="1"/>
    </row>
    <row r="15" spans="1:3" x14ac:dyDescent="0.25">
      <c r="A15" s="1">
        <v>4900</v>
      </c>
      <c r="B15" s="1">
        <v>21.5</v>
      </c>
    </row>
    <row r="16" spans="1:3" x14ac:dyDescent="0.25">
      <c r="A16" s="1">
        <v>5200</v>
      </c>
      <c r="B16" s="1">
        <v>21.5</v>
      </c>
    </row>
    <row r="17" spans="1:2" x14ac:dyDescent="0.25">
      <c r="A17" s="1">
        <v>5500</v>
      </c>
      <c r="B17" s="1">
        <v>21.5</v>
      </c>
    </row>
    <row r="18" spans="1:2" x14ac:dyDescent="0.25">
      <c r="A18" s="1">
        <v>5800</v>
      </c>
      <c r="B18" s="1">
        <v>21.5</v>
      </c>
    </row>
    <row r="19" spans="1:2" x14ac:dyDescent="0.25">
      <c r="A19" s="1">
        <v>6100</v>
      </c>
      <c r="B19" s="1">
        <v>21.5</v>
      </c>
    </row>
    <row r="20" spans="1:2" x14ac:dyDescent="0.25">
      <c r="A20" s="1">
        <v>6400</v>
      </c>
      <c r="B20" s="1">
        <v>21.5</v>
      </c>
    </row>
    <row r="21" spans="1:2" x14ac:dyDescent="0.25">
      <c r="A21" s="1">
        <v>6700</v>
      </c>
      <c r="B21" s="1">
        <v>21.5</v>
      </c>
    </row>
    <row r="22" spans="1:2" x14ac:dyDescent="0.25">
      <c r="A22" s="1">
        <v>7000</v>
      </c>
      <c r="B22" s="1">
        <v>21.5</v>
      </c>
    </row>
    <row r="23" spans="1:2" x14ac:dyDescent="0.25">
      <c r="A23" s="1">
        <v>7300</v>
      </c>
      <c r="B23" s="1">
        <v>21.5</v>
      </c>
    </row>
    <row r="24" spans="1:2" x14ac:dyDescent="0.25">
      <c r="A24" s="1">
        <v>7600</v>
      </c>
      <c r="B24" s="1">
        <v>21.5</v>
      </c>
    </row>
    <row r="25" spans="1:2" x14ac:dyDescent="0.25">
      <c r="A25" s="1">
        <v>7900</v>
      </c>
      <c r="B25" s="1">
        <v>21.5</v>
      </c>
    </row>
    <row r="26" spans="1:2" x14ac:dyDescent="0.25">
      <c r="A26" s="1">
        <v>8200</v>
      </c>
      <c r="B26" s="1">
        <v>21.5</v>
      </c>
    </row>
    <row r="27" spans="1:2" x14ac:dyDescent="0.25">
      <c r="A27" s="1">
        <v>8500</v>
      </c>
      <c r="B27" s="1">
        <v>21.5</v>
      </c>
    </row>
    <row r="28" spans="1:2" x14ac:dyDescent="0.25">
      <c r="A28" s="1">
        <v>8800</v>
      </c>
      <c r="B28" s="1">
        <v>21.5</v>
      </c>
    </row>
    <row r="29" spans="1:2" x14ac:dyDescent="0.25">
      <c r="A29" s="1">
        <v>9100</v>
      </c>
      <c r="B29" s="1">
        <v>21.5</v>
      </c>
    </row>
    <row r="30" spans="1:2" x14ac:dyDescent="0.25">
      <c r="A30" s="1">
        <v>9400</v>
      </c>
      <c r="B30" s="1">
        <v>21.5</v>
      </c>
    </row>
    <row r="31" spans="1:2" x14ac:dyDescent="0.25">
      <c r="A31" s="1">
        <v>9700</v>
      </c>
      <c r="B31" s="1">
        <v>21.5</v>
      </c>
    </row>
    <row r="32" spans="1:2" x14ac:dyDescent="0.25">
      <c r="A32" s="1">
        <v>10000</v>
      </c>
      <c r="B32" s="1">
        <v>21.5</v>
      </c>
    </row>
    <row r="33" spans="1:2" x14ac:dyDescent="0.25">
      <c r="A33" s="1">
        <v>10300</v>
      </c>
      <c r="B33" s="1">
        <v>21.5</v>
      </c>
    </row>
    <row r="34" spans="1:2" x14ac:dyDescent="0.25">
      <c r="A34" s="1">
        <v>10600</v>
      </c>
      <c r="B34" s="1">
        <v>21.5</v>
      </c>
    </row>
    <row r="35" spans="1:2" x14ac:dyDescent="0.25">
      <c r="A35" s="1">
        <v>10900</v>
      </c>
      <c r="B35" s="1">
        <v>21.5</v>
      </c>
    </row>
    <row r="36" spans="1:2" x14ac:dyDescent="0.25">
      <c r="A36" s="1">
        <v>11200</v>
      </c>
      <c r="B36" s="1">
        <v>21.5</v>
      </c>
    </row>
    <row r="37" spans="1:2" x14ac:dyDescent="0.25">
      <c r="A37" s="1">
        <v>11500</v>
      </c>
      <c r="B37" s="1">
        <v>21.5</v>
      </c>
    </row>
    <row r="38" spans="1:2" x14ac:dyDescent="0.25">
      <c r="A38" s="1">
        <v>11800</v>
      </c>
      <c r="B38" s="1">
        <v>21.5</v>
      </c>
    </row>
    <row r="39" spans="1:2" x14ac:dyDescent="0.25">
      <c r="A39" s="1">
        <v>12100</v>
      </c>
      <c r="B39" s="1">
        <v>21.5</v>
      </c>
    </row>
    <row r="40" spans="1:2" x14ac:dyDescent="0.25">
      <c r="A40" s="1">
        <v>12400</v>
      </c>
      <c r="B40" s="1">
        <v>21.5</v>
      </c>
    </row>
    <row r="41" spans="1:2" x14ac:dyDescent="0.25">
      <c r="A41" s="1">
        <v>12700</v>
      </c>
      <c r="B41" s="1">
        <v>21.5</v>
      </c>
    </row>
    <row r="42" spans="1:2" x14ac:dyDescent="0.25">
      <c r="A42" s="1">
        <v>13000</v>
      </c>
      <c r="B42" s="1">
        <v>21.5</v>
      </c>
    </row>
    <row r="43" spans="1:2" x14ac:dyDescent="0.25">
      <c r="A43" s="1">
        <v>13300</v>
      </c>
      <c r="B43">
        <v>21.3</v>
      </c>
    </row>
    <row r="44" spans="1:2" x14ac:dyDescent="0.25">
      <c r="A44" s="1">
        <v>13600</v>
      </c>
      <c r="B44">
        <v>20.3</v>
      </c>
    </row>
    <row r="45" spans="1:2" x14ac:dyDescent="0.25">
      <c r="A45" s="1">
        <v>13900</v>
      </c>
      <c r="B45">
        <v>20</v>
      </c>
    </row>
    <row r="46" spans="1:2" x14ac:dyDescent="0.25">
      <c r="A46" s="1">
        <v>14200</v>
      </c>
      <c r="B46">
        <v>19.600000000000001</v>
      </c>
    </row>
    <row r="47" spans="1:2" x14ac:dyDescent="0.25">
      <c r="A47" s="1">
        <v>14500</v>
      </c>
      <c r="B47">
        <v>19</v>
      </c>
    </row>
    <row r="48" spans="1:2" x14ac:dyDescent="0.25">
      <c r="A48" s="1">
        <v>14800</v>
      </c>
      <c r="B48">
        <v>17.8</v>
      </c>
    </row>
    <row r="49" spans="1:2" x14ac:dyDescent="0.25">
      <c r="A49" s="1">
        <v>15100</v>
      </c>
      <c r="B49">
        <v>17.600000000000001</v>
      </c>
    </row>
    <row r="50" spans="1:2" x14ac:dyDescent="0.25">
      <c r="A50" s="1">
        <v>15400</v>
      </c>
      <c r="B50">
        <v>17.399999999999999</v>
      </c>
    </row>
    <row r="51" spans="1:2" x14ac:dyDescent="0.25">
      <c r="A51" s="1">
        <v>15700</v>
      </c>
      <c r="B51">
        <v>16.25</v>
      </c>
    </row>
    <row r="52" spans="1:2" x14ac:dyDescent="0.25">
      <c r="A52" s="1">
        <v>16000</v>
      </c>
      <c r="B52">
        <v>15.3</v>
      </c>
    </row>
    <row r="53" spans="1:2" x14ac:dyDescent="0.25">
      <c r="A53" s="1">
        <v>16300</v>
      </c>
      <c r="B53">
        <v>14.9</v>
      </c>
    </row>
    <row r="54" spans="1:2" x14ac:dyDescent="0.25">
      <c r="A54" s="1">
        <v>16600</v>
      </c>
      <c r="B54">
        <v>13.75</v>
      </c>
    </row>
    <row r="55" spans="1:2" x14ac:dyDescent="0.25">
      <c r="A55" s="1">
        <v>16900</v>
      </c>
      <c r="B55">
        <v>13</v>
      </c>
    </row>
    <row r="56" spans="1:2" x14ac:dyDescent="0.25">
      <c r="A56" s="1">
        <v>17200</v>
      </c>
      <c r="B56">
        <v>12</v>
      </c>
    </row>
    <row r="57" spans="1:2" x14ac:dyDescent="0.25">
      <c r="A57" s="1">
        <v>17500</v>
      </c>
      <c r="B57">
        <v>10.8</v>
      </c>
    </row>
    <row r="58" spans="1:2" x14ac:dyDescent="0.25">
      <c r="A58" s="1">
        <v>17800</v>
      </c>
      <c r="B58">
        <v>9.8000000000000007</v>
      </c>
    </row>
    <row r="59" spans="1:2" x14ac:dyDescent="0.25">
      <c r="A59" s="1">
        <v>18100</v>
      </c>
      <c r="B59">
        <v>7.5</v>
      </c>
    </row>
    <row r="60" spans="1:2" x14ac:dyDescent="0.25">
      <c r="A60" s="1">
        <v>18400</v>
      </c>
      <c r="B60">
        <v>5</v>
      </c>
    </row>
    <row r="61" spans="1:2" x14ac:dyDescent="0.25">
      <c r="A61" s="1">
        <v>18700</v>
      </c>
      <c r="B61">
        <v>2.5</v>
      </c>
    </row>
    <row r="62" spans="1:2" x14ac:dyDescent="0.25">
      <c r="A62" s="1">
        <v>19000</v>
      </c>
      <c r="B62">
        <v>0</v>
      </c>
    </row>
    <row r="63" spans="1:2" x14ac:dyDescent="0.25">
      <c r="A63" s="1">
        <v>19300</v>
      </c>
      <c r="B63">
        <v>0</v>
      </c>
    </row>
    <row r="64" spans="1:2" x14ac:dyDescent="0.25">
      <c r="A64" s="1">
        <v>19600</v>
      </c>
      <c r="B64">
        <v>0</v>
      </c>
    </row>
    <row r="65" spans="1:2" x14ac:dyDescent="0.25">
      <c r="A65" s="1">
        <v>19900</v>
      </c>
      <c r="B65">
        <v>0</v>
      </c>
    </row>
    <row r="66" spans="1:2" x14ac:dyDescent="0.25">
      <c r="A66" s="1">
        <v>20000</v>
      </c>
      <c r="B66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EB9A4-09C4-4141-BEC8-926EFB087E25}">
  <dimension ref="A1:E5"/>
  <sheetViews>
    <sheetView workbookViewId="0">
      <selection activeCell="L27" sqref="L27"/>
    </sheetView>
  </sheetViews>
  <sheetFormatPr defaultRowHeight="15" x14ac:dyDescent="0.25"/>
  <cols>
    <col min="1" max="1" width="16" customWidth="1"/>
    <col min="4" max="4" width="12.42578125" customWidth="1"/>
    <col min="5" max="5" width="10.28515625" customWidth="1"/>
  </cols>
  <sheetData>
    <row r="1" spans="1:5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</row>
    <row r="2" spans="1:5" x14ac:dyDescent="0.25">
      <c r="A2">
        <v>1</v>
      </c>
      <c r="B2">
        <v>-0.75</v>
      </c>
      <c r="C2">
        <v>-2.5</v>
      </c>
      <c r="D2">
        <v>5</v>
      </c>
      <c r="E2">
        <v>3</v>
      </c>
    </row>
    <row r="3" spans="1:5" x14ac:dyDescent="0.25">
      <c r="A3">
        <v>2</v>
      </c>
      <c r="B3">
        <v>-1</v>
      </c>
      <c r="C3">
        <v>-2.7</v>
      </c>
      <c r="D3">
        <v>2</v>
      </c>
      <c r="E3">
        <v>1</v>
      </c>
    </row>
    <row r="4" spans="1:5" x14ac:dyDescent="0.25">
      <c r="A4">
        <v>3</v>
      </c>
      <c r="B4">
        <v>-1.25</v>
      </c>
      <c r="C4">
        <v>-3.1</v>
      </c>
      <c r="D4">
        <v>2.5</v>
      </c>
      <c r="E4">
        <v>2.2000000000000002</v>
      </c>
    </row>
    <row r="5" spans="1:5" x14ac:dyDescent="0.25">
      <c r="A5">
        <v>4</v>
      </c>
      <c r="B5">
        <v>-1.5</v>
      </c>
      <c r="C5">
        <v>-3.25</v>
      </c>
      <c r="D5">
        <v>3.5</v>
      </c>
      <c r="E5">
        <v>2.8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Torque Curve</vt:lpstr>
      <vt:lpstr>Aero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Quin Hutton</cp:lastModifiedBy>
  <dcterms:created xsi:type="dcterms:W3CDTF">2020-03-24T14:25:54Z</dcterms:created>
  <dcterms:modified xsi:type="dcterms:W3CDTF">2025-11-16T18:30:52Z</dcterms:modified>
</cp:coreProperties>
</file>